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yword Master List" sheetId="1" state="visible" r:id="rId3"/>
    <sheet name="Summary by Category" sheetId="2" state="visible" r:id="rId4"/>
  </sheets>
  <definedNames>
    <definedName function="false" hidden="true" localSheetId="0" name="_xlnm._FilterDatabase" vbProcedure="false">'Keyword Master List'!$A$1:$H$74</definedName>
    <definedName function="false" hidden="true" localSheetId="1" name="_xlnm._FilterDatabase" vbProcedure="false">'Summary by Category'!$A$1:$E$9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<sst xmlns="http://schemas.openxmlformats.org/spreadsheetml/2006/main" count="471" uniqueCount="142">
  <si>
    <t xml:space="preserve">Category</t>
  </si>
  <si>
    <t xml:space="preserve">Location</t>
  </si>
  <si>
    <t xml:space="preserve">Keyword</t>
  </si>
  <si>
    <t xml:space="preserve">Volume (Monthly)</t>
  </si>
  <si>
    <t xml:space="preserve">SEO Difficulty</t>
  </si>
  <si>
    <t xml:space="preserve">Difficulty Level</t>
  </si>
  <si>
    <t xml:space="preserve">Role</t>
  </si>
  <si>
    <t xml:space="preserve">Notes</t>
  </si>
  <si>
    <t xml:space="preserve">Salesforce Consulting</t>
  </si>
  <si>
    <t xml:space="preserve">Dubai</t>
  </si>
  <si>
    <t xml:space="preserve">salesforce partner dubai</t>
  </si>
  <si>
    <t xml:space="preserve">Easy</t>
  </si>
  <si>
    <t xml:space="preserve">Pillar</t>
  </si>
  <si>
    <t xml:space="preserve">Best keyword — highest volume, lowest difficulty, exact geo match</t>
  </si>
  <si>
    <t xml:space="preserve">salesforce partner in dubai</t>
  </si>
  <si>
    <t xml:space="preserve">Supporting (H2/H3)</t>
  </si>
  <si>
    <t xml:space="preserve">Strong variant of top keyword</t>
  </si>
  <si>
    <t xml:space="preserve">salesforce partner</t>
  </si>
  <si>
    <t xml:space="preserve">Broad, low difficulty — good pillar base</t>
  </si>
  <si>
    <t xml:space="preserve">salesforce consulting</t>
  </si>
  <si>
    <t xml:space="preserve">Pillar blog title candidate</t>
  </si>
  <si>
    <t xml:space="preserve">salesforce consulting companies</t>
  </si>
  <si>
    <t xml:space="preserve">Supporting keyword</t>
  </si>
  <si>
    <t xml:space="preserve">salesforce consulting partner in dubai</t>
  </si>
  <si>
    <t xml:space="preserve">Very easy rank, geo-specific</t>
  </si>
  <si>
    <t xml:space="preserve">Qatar</t>
  </si>
  <si>
    <t xml:space="preserve">Qatar location data</t>
  </si>
  <si>
    <t xml:space="preserve">UAE</t>
  </si>
  <si>
    <t xml:space="preserve">salesforce partner in uae</t>
  </si>
  <si>
    <t xml:space="preserve">Good for UAE-wide reach</t>
  </si>
  <si>
    <t xml:space="preserve">Zoho Service</t>
  </si>
  <si>
    <t xml:space="preserve">zoho partnership</t>
  </si>
  <si>
    <t xml:space="preserve">Highest volume Zoho keyword (Dubai)</t>
  </si>
  <si>
    <t xml:space="preserve">zoho partner</t>
  </si>
  <si>
    <t xml:space="preserve">Broad Zoho keyword</t>
  </si>
  <si>
    <t xml:space="preserve">zoho partner dubai</t>
  </si>
  <si>
    <t xml:space="preserve">Geo-specific</t>
  </si>
  <si>
    <t xml:space="preserve">zoho crm for real estate</t>
  </si>
  <si>
    <t xml:space="preserve">Industry-niche, easy rank</t>
  </si>
  <si>
    <t xml:space="preserve">zoho consulting</t>
  </si>
  <si>
    <t xml:space="preserve">Medium</t>
  </si>
  <si>
    <t xml:space="preserve">Medium difficulty but important for Zoho category</t>
  </si>
  <si>
    <t xml:space="preserve">zoho one consulting</t>
  </si>
  <si>
    <t xml:space="preserve">Zoho One specific service</t>
  </si>
  <si>
    <t xml:space="preserve">zoho crm</t>
  </si>
  <si>
    <t xml:space="preserve">Highest volume Zoho keyword overall (Qatar)</t>
  </si>
  <si>
    <t xml:space="preserve">zoho accounting software</t>
  </si>
  <si>
    <t xml:space="preserve">Zoho Books/accounting angle</t>
  </si>
  <si>
    <t xml:space="preserve">zoho one</t>
  </si>
  <si>
    <t xml:space="preserve">Strong Qatar volume</t>
  </si>
  <si>
    <t xml:space="preserve">zoho partner uae</t>
  </si>
  <si>
    <t xml:space="preserve">UAE-wide reach</t>
  </si>
  <si>
    <t xml:space="preserve">Cloud Solution</t>
  </si>
  <si>
    <t xml:space="preserve">cloud consulting</t>
  </si>
  <si>
    <t xml:space="preserve">Use as H2 in Salesforce/Web Dev pillar</t>
  </si>
  <si>
    <t xml:space="preserve">cloud consulting companies</t>
  </si>
  <si>
    <t xml:space="preserve">cloud solutions dubai</t>
  </si>
  <si>
    <t xml:space="preserve">General</t>
  </si>
  <si>
    <t xml:space="preserve">cloud solution</t>
  </si>
  <si>
    <t xml:space="preserve">Broad seed keyword</t>
  </si>
  <si>
    <t xml:space="preserve">cloud backup solutions</t>
  </si>
  <si>
    <t xml:space="preserve">cloud erp solution</t>
  </si>
  <si>
    <t xml:space="preserve">cloud solution architecture</t>
  </si>
  <si>
    <t xml:space="preserve">cloud solutions qatar</t>
  </si>
  <si>
    <t xml:space="preserve">Web Development</t>
  </si>
  <si>
    <t xml:space="preserve">web development</t>
  </si>
  <si>
    <t xml:space="preserve">Highest volume in category — pillar candidate</t>
  </si>
  <si>
    <t xml:space="preserve">web development agency</t>
  </si>
  <si>
    <t xml:space="preserve">Strong volume, low difficulty</t>
  </si>
  <si>
    <t xml:space="preserve">web development company</t>
  </si>
  <si>
    <t xml:space="preserve">Strong volume</t>
  </si>
  <si>
    <t xml:space="preserve">web development services</t>
  </si>
  <si>
    <t xml:space="preserve">Medium difficulty</t>
  </si>
  <si>
    <t xml:space="preserve">web development for ecommerce</t>
  </si>
  <si>
    <t xml:space="preserve">web development design</t>
  </si>
  <si>
    <t xml:space="preserve">web development company near me</t>
  </si>
  <si>
    <t xml:space="preserve">Local-intent</t>
  </si>
  <si>
    <t xml:space="preserve">web development near me</t>
  </si>
  <si>
    <t xml:space="preserve">web development qatar</t>
  </si>
  <si>
    <t xml:space="preserve">App Development</t>
  </si>
  <si>
    <t xml:space="preserve">app development company in dubai</t>
  </si>
  <si>
    <t xml:space="preserve">Best keyword in entire research — high volume + very low difficulty</t>
  </si>
  <si>
    <t xml:space="preserve">app development dubai</t>
  </si>
  <si>
    <t xml:space="preserve">Strong geo match</t>
  </si>
  <si>
    <t xml:space="preserve">app development mobile</t>
  </si>
  <si>
    <t xml:space="preserve">app development</t>
  </si>
  <si>
    <t xml:space="preserve">app development agency</t>
  </si>
  <si>
    <t xml:space="preserve">app development agency near me</t>
  </si>
  <si>
    <t xml:space="preserve">Very easy rank</t>
  </si>
  <si>
    <t xml:space="preserve">app development company near me</t>
  </si>
  <si>
    <t xml:space="preserve">Highest volume in Qatar batch</t>
  </si>
  <si>
    <t xml:space="preserve">app development qatar</t>
  </si>
  <si>
    <t xml:space="preserve">Best Qatar App Dev keyword — pillar candidate</t>
  </si>
  <si>
    <t xml:space="preserve">Broad seed keyword, medium difficulty</t>
  </si>
  <si>
    <t xml:space="preserve">Digital Marketing</t>
  </si>
  <si>
    <t xml:space="preserve">digital marketing agency</t>
  </si>
  <si>
    <t xml:space="preserve">Highest volume — but medium/tough difficulty</t>
  </si>
  <si>
    <t xml:space="preserve">digital marketing services</t>
  </si>
  <si>
    <t xml:space="preserve">digital marketing agency near me</t>
  </si>
  <si>
    <t xml:space="preserve">High volume + easy — strong pillar candidate</t>
  </si>
  <si>
    <t xml:space="preserve">digital marketing company</t>
  </si>
  <si>
    <t xml:space="preserve">digital marketing firm</t>
  </si>
  <si>
    <t xml:space="preserve">digital marketing companies near me</t>
  </si>
  <si>
    <t xml:space="preserve">digital marketing near me</t>
  </si>
  <si>
    <t xml:space="preserve">digital marketing solutions</t>
  </si>
  <si>
    <t xml:space="preserve">digital marketing consultant</t>
  </si>
  <si>
    <t xml:space="preserve">digital marketing for real estate</t>
  </si>
  <si>
    <t xml:space="preserve">Industry-niche, super easy win</t>
  </si>
  <si>
    <t xml:space="preserve">digital marketing</t>
  </si>
  <si>
    <t xml:space="preserve">Highest volume keyword across entire Qatar research</t>
  </si>
  <si>
    <t xml:space="preserve">Pillar candidate for Qatar</t>
  </si>
  <si>
    <t xml:space="preserve">digital marketing specialist</t>
  </si>
  <si>
    <t xml:space="preserve">Data Migration</t>
  </si>
  <si>
    <t xml:space="preserve">data migration framework</t>
  </si>
  <si>
    <t xml:space="preserve">Highest volume in category</t>
  </si>
  <si>
    <t xml:space="preserve">data migration</t>
  </si>
  <si>
    <t xml:space="preserve">data migration best practices salesforce</t>
  </si>
  <si>
    <t xml:space="preserve">Directly linked to Salesforce — high relevance</t>
  </si>
  <si>
    <t xml:space="preserve">data migration erp</t>
  </si>
  <si>
    <t xml:space="preserve">data migration solutions</t>
  </si>
  <si>
    <t xml:space="preserve">data migration consultant</t>
  </si>
  <si>
    <t xml:space="preserve">data migration checklist</t>
  </si>
  <si>
    <t xml:space="preserve">data migration project</t>
  </si>
  <si>
    <t xml:space="preserve">Consulting And Training</t>
  </si>
  <si>
    <t xml:space="preserve">consulting and training</t>
  </si>
  <si>
    <t xml:space="preserve">Low overall volume — use as H2 in Salesforce/Zoho pillar, not standalone</t>
  </si>
  <si>
    <t xml:space="preserve">Total Keywords</t>
  </si>
  <si>
    <t xml:space="preserve">Total Volume</t>
  </si>
  <si>
    <t xml:space="preserve">Avg SEO Difficulty</t>
  </si>
  <si>
    <t xml:space="preserve">Pillar Keyword (Highest Volume)</t>
  </si>
  <si>
    <t xml:space="preserve">salesforce partner dubai (70 vol)</t>
  </si>
  <si>
    <t xml:space="preserve">zoho crm (260 vol)</t>
  </si>
  <si>
    <t xml:space="preserve">cloud consulting (10 vol)</t>
  </si>
  <si>
    <t xml:space="preserve">web development (880 vol)</t>
  </si>
  <si>
    <t xml:space="preserve">app development company in dubai (1000 vol)</t>
  </si>
  <si>
    <t xml:space="preserve">digital marketing agency (1300 vol)</t>
  </si>
  <si>
    <t xml:space="preserve">data migration framework (110 vol)</t>
  </si>
  <si>
    <t xml:space="preserve">consulting and training (10 vol)</t>
  </si>
  <si>
    <t xml:space="preserve">Legend:</t>
  </si>
  <si>
    <t xml:space="preserve">Pillar = highest-volume keyword in a category/location group — use as blog title/H1</t>
  </si>
  <si>
    <t xml:space="preserve">Supporting (H2/H3) = use inside the pillar blog as subheadings, not as a standalone blog</t>
  </si>
  <si>
    <t xml:space="preserve">SEO Difficulty: Easy 0-35, Medium 36-69, Hard 70-100 (Ubersuggest scale)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</si>
</sst>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0.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8" min="8" style="0" width="4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5.35" hidden="false" customHeight="false" outlineLevel="0" collapsed="false">
      <c r="A2" s="2" t="s">
        <v>8</v>
      </c>
      <c r="B2" s="3" t="s">
        <v>9</v>
      </c>
      <c r="C2" s="4" t="s">
        <v>10</v>
      </c>
      <c r="D2" s="5" t="n">
        <v>70</v>
      </c>
      <c r="E2" s="3" t="n">
        <v>10</v>
      </c>
      <c r="F2" s="6" t="s">
        <v>11</v>
      </c>
      <c r="G2" s="3" t="s">
        <v>12</v>
      </c>
      <c r="H2" s="2" t="s">
        <v>13</v>
      </c>
    </row>
    <row r="3" customFormat="false" ht="15" hidden="false" customHeight="false" outlineLevel="0" collapsed="false">
      <c r="A3" s="7" t="s">
        <v>8</v>
      </c>
      <c r="B3" s="8" t="s">
        <v>9</v>
      </c>
      <c r="C3" s="7" t="s">
        <v>14</v>
      </c>
      <c r="D3" s="9" t="n">
        <v>50</v>
      </c>
      <c r="E3" s="8" t="n">
        <v>15</v>
      </c>
      <c r="F3" s="6" t="s">
        <v>11</v>
      </c>
      <c r="G3" s="8" t="s">
        <v>15</v>
      </c>
      <c r="H3" s="7" t="s">
        <v>16</v>
      </c>
    </row>
    <row r="4" customFormat="false" ht="15" hidden="false" customHeight="false" outlineLevel="0" collapsed="false">
      <c r="A4" s="7" t="s">
        <v>8</v>
      </c>
      <c r="B4" s="8" t="s">
        <v>9</v>
      </c>
      <c r="C4" s="7" t="s">
        <v>17</v>
      </c>
      <c r="D4" s="9" t="n">
        <v>40</v>
      </c>
      <c r="E4" s="8" t="n">
        <v>31</v>
      </c>
      <c r="F4" s="6" t="s">
        <v>11</v>
      </c>
      <c r="G4" s="8" t="s">
        <v>15</v>
      </c>
      <c r="H4" s="7" t="s">
        <v>18</v>
      </c>
    </row>
    <row r="5" customFormat="false" ht="15" hidden="false" customHeight="false" outlineLevel="0" collapsed="false">
      <c r="A5" s="7" t="s">
        <v>8</v>
      </c>
      <c r="B5" s="8" t="s">
        <v>9</v>
      </c>
      <c r="C5" s="7" t="s">
        <v>19</v>
      </c>
      <c r="D5" s="9" t="n">
        <v>10</v>
      </c>
      <c r="E5" s="8" t="n">
        <v>28</v>
      </c>
      <c r="F5" s="6" t="s">
        <v>11</v>
      </c>
      <c r="G5" s="8" t="s">
        <v>15</v>
      </c>
      <c r="H5" s="7" t="s">
        <v>20</v>
      </c>
    </row>
    <row r="6" customFormat="false" ht="15" hidden="false" customHeight="false" outlineLevel="0" collapsed="false">
      <c r="A6" s="7" t="s">
        <v>8</v>
      </c>
      <c r="B6" s="8" t="s">
        <v>9</v>
      </c>
      <c r="C6" s="7" t="s">
        <v>21</v>
      </c>
      <c r="D6" s="9" t="n">
        <v>10</v>
      </c>
      <c r="E6" s="8" t="n">
        <v>13</v>
      </c>
      <c r="F6" s="6" t="s">
        <v>11</v>
      </c>
      <c r="G6" s="8" t="s">
        <v>15</v>
      </c>
      <c r="H6" s="7" t="s">
        <v>22</v>
      </c>
    </row>
    <row r="7" customFormat="false" ht="15" hidden="false" customHeight="false" outlineLevel="0" collapsed="false">
      <c r="A7" s="7" t="s">
        <v>8</v>
      </c>
      <c r="B7" s="8" t="s">
        <v>9</v>
      </c>
      <c r="C7" s="7" t="s">
        <v>23</v>
      </c>
      <c r="D7" s="9" t="n">
        <v>10</v>
      </c>
      <c r="E7" s="8" t="n">
        <v>5</v>
      </c>
      <c r="F7" s="6" t="s">
        <v>11</v>
      </c>
      <c r="G7" s="8" t="s">
        <v>15</v>
      </c>
      <c r="H7" s="7" t="s">
        <v>24</v>
      </c>
    </row>
    <row r="8" customFormat="false" ht="15" hidden="false" customHeight="false" outlineLevel="0" collapsed="false">
      <c r="A8" s="2" t="s">
        <v>8</v>
      </c>
      <c r="B8" s="3" t="s">
        <v>25</v>
      </c>
      <c r="C8" s="4" t="s">
        <v>19</v>
      </c>
      <c r="D8" s="5" t="n">
        <v>10</v>
      </c>
      <c r="E8" s="3" t="n">
        <v>18</v>
      </c>
      <c r="F8" s="6" t="s">
        <v>11</v>
      </c>
      <c r="G8" s="3" t="s">
        <v>12</v>
      </c>
      <c r="H8" s="2" t="s">
        <v>26</v>
      </c>
    </row>
    <row r="9" customFormat="false" ht="15" hidden="false" customHeight="false" outlineLevel="0" collapsed="false">
      <c r="A9" s="2" t="s">
        <v>8</v>
      </c>
      <c r="B9" s="3" t="s">
        <v>27</v>
      </c>
      <c r="C9" s="4" t="s">
        <v>28</v>
      </c>
      <c r="D9" s="5" t="n">
        <v>30</v>
      </c>
      <c r="E9" s="3" t="n">
        <v>16</v>
      </c>
      <c r="F9" s="6" t="s">
        <v>11</v>
      </c>
      <c r="G9" s="3" t="s">
        <v>12</v>
      </c>
      <c r="H9" s="2" t="s">
        <v>29</v>
      </c>
    </row>
    <row r="10" customFormat="false" ht="15" hidden="false" customHeight="false" outlineLevel="0" collapsed="false">
      <c r="A10" s="2" t="s">
        <v>30</v>
      </c>
      <c r="B10" s="3" t="s">
        <v>9</v>
      </c>
      <c r="C10" s="4" t="s">
        <v>31</v>
      </c>
      <c r="D10" s="5" t="n">
        <v>110</v>
      </c>
      <c r="E10" s="3" t="n">
        <v>32</v>
      </c>
      <c r="F10" s="6" t="s">
        <v>11</v>
      </c>
      <c r="G10" s="3" t="s">
        <v>12</v>
      </c>
      <c r="H10" s="2" t="s">
        <v>32</v>
      </c>
    </row>
    <row r="11" customFormat="false" ht="15" hidden="false" customHeight="false" outlineLevel="0" collapsed="false">
      <c r="A11" s="7" t="s">
        <v>30</v>
      </c>
      <c r="B11" s="8" t="s">
        <v>9</v>
      </c>
      <c r="C11" s="7" t="s">
        <v>33</v>
      </c>
      <c r="D11" s="9" t="n">
        <v>70</v>
      </c>
      <c r="E11" s="8" t="n">
        <v>30</v>
      </c>
      <c r="F11" s="6" t="s">
        <v>11</v>
      </c>
      <c r="G11" s="8" t="s">
        <v>15</v>
      </c>
      <c r="H11" s="7" t="s">
        <v>34</v>
      </c>
    </row>
    <row r="12" customFormat="false" ht="15" hidden="false" customHeight="false" outlineLevel="0" collapsed="false">
      <c r="A12" s="7" t="s">
        <v>30</v>
      </c>
      <c r="B12" s="8" t="s">
        <v>9</v>
      </c>
      <c r="C12" s="7" t="s">
        <v>35</v>
      </c>
      <c r="D12" s="9" t="n">
        <v>20</v>
      </c>
      <c r="E12" s="8" t="n">
        <v>26</v>
      </c>
      <c r="F12" s="6" t="s">
        <v>11</v>
      </c>
      <c r="G12" s="8" t="s">
        <v>15</v>
      </c>
      <c r="H12" s="7" t="s">
        <v>36</v>
      </c>
    </row>
    <row r="13" customFormat="false" ht="15" hidden="false" customHeight="false" outlineLevel="0" collapsed="false">
      <c r="A13" s="7" t="s">
        <v>30</v>
      </c>
      <c r="B13" s="8" t="s">
        <v>9</v>
      </c>
      <c r="C13" s="7" t="s">
        <v>37</v>
      </c>
      <c r="D13" s="9" t="n">
        <v>20</v>
      </c>
      <c r="E13" s="8" t="n">
        <v>13</v>
      </c>
      <c r="F13" s="6" t="s">
        <v>11</v>
      </c>
      <c r="G13" s="8" t="s">
        <v>15</v>
      </c>
      <c r="H13" s="7" t="s">
        <v>38</v>
      </c>
    </row>
    <row r="14" customFormat="false" ht="15" hidden="false" customHeight="false" outlineLevel="0" collapsed="false">
      <c r="A14" s="7" t="s">
        <v>30</v>
      </c>
      <c r="B14" s="8" t="s">
        <v>9</v>
      </c>
      <c r="C14" s="7" t="s">
        <v>39</v>
      </c>
      <c r="D14" s="9" t="n">
        <v>10</v>
      </c>
      <c r="E14" s="8" t="n">
        <v>42</v>
      </c>
      <c r="F14" s="10" t="s">
        <v>40</v>
      </c>
      <c r="G14" s="8" t="s">
        <v>15</v>
      </c>
      <c r="H14" s="7" t="s">
        <v>41</v>
      </c>
    </row>
    <row r="15" customFormat="false" ht="15" hidden="false" customHeight="false" outlineLevel="0" collapsed="false">
      <c r="A15" s="7" t="s">
        <v>30</v>
      </c>
      <c r="B15" s="8" t="s">
        <v>9</v>
      </c>
      <c r="C15" s="7" t="s">
        <v>42</v>
      </c>
      <c r="D15" s="9" t="n">
        <v>10</v>
      </c>
      <c r="E15" s="8" t="n">
        <v>13</v>
      </c>
      <c r="F15" s="6" t="s">
        <v>11</v>
      </c>
      <c r="G15" s="8" t="s">
        <v>15</v>
      </c>
      <c r="H15" s="7" t="s">
        <v>43</v>
      </c>
    </row>
    <row r="16" customFormat="false" ht="15" hidden="false" customHeight="false" outlineLevel="0" collapsed="false">
      <c r="A16" s="2" t="s">
        <v>30</v>
      </c>
      <c r="B16" s="3" t="s">
        <v>25</v>
      </c>
      <c r="C16" s="4" t="s">
        <v>44</v>
      </c>
      <c r="D16" s="5" t="n">
        <v>260</v>
      </c>
      <c r="E16" s="3" t="n">
        <v>25</v>
      </c>
      <c r="F16" s="6" t="s">
        <v>11</v>
      </c>
      <c r="G16" s="3" t="s">
        <v>12</v>
      </c>
      <c r="H16" s="2" t="s">
        <v>45</v>
      </c>
    </row>
    <row r="17" customFormat="false" ht="15" hidden="false" customHeight="false" outlineLevel="0" collapsed="false">
      <c r="A17" s="7" t="s">
        <v>30</v>
      </c>
      <c r="B17" s="8" t="s">
        <v>25</v>
      </c>
      <c r="C17" s="7" t="s">
        <v>46</v>
      </c>
      <c r="D17" s="9" t="n">
        <v>140</v>
      </c>
      <c r="E17" s="8" t="n">
        <v>23</v>
      </c>
      <c r="F17" s="6" t="s">
        <v>11</v>
      </c>
      <c r="G17" s="8" t="s">
        <v>15</v>
      </c>
      <c r="H17" s="7" t="s">
        <v>47</v>
      </c>
    </row>
    <row r="18" customFormat="false" ht="15" hidden="false" customHeight="false" outlineLevel="0" collapsed="false">
      <c r="A18" s="7" t="s">
        <v>30</v>
      </c>
      <c r="B18" s="8" t="s">
        <v>25</v>
      </c>
      <c r="C18" s="7" t="s">
        <v>48</v>
      </c>
      <c r="D18" s="9" t="n">
        <v>110</v>
      </c>
      <c r="E18" s="8" t="n">
        <v>24</v>
      </c>
      <c r="F18" s="6" t="s">
        <v>11</v>
      </c>
      <c r="G18" s="8" t="s">
        <v>15</v>
      </c>
      <c r="H18" s="7" t="s">
        <v>49</v>
      </c>
    </row>
    <row r="19" customFormat="false" ht="15" hidden="false" customHeight="false" outlineLevel="0" collapsed="false">
      <c r="A19" s="2" t="s">
        <v>30</v>
      </c>
      <c r="B19" s="3" t="s">
        <v>27</v>
      </c>
      <c r="C19" s="4" t="s">
        <v>50</v>
      </c>
      <c r="D19" s="5" t="n">
        <v>10</v>
      </c>
      <c r="E19" s="3" t="n">
        <v>31</v>
      </c>
      <c r="F19" s="6" t="s">
        <v>11</v>
      </c>
      <c r="G19" s="3" t="s">
        <v>12</v>
      </c>
      <c r="H19" s="2" t="s">
        <v>51</v>
      </c>
    </row>
    <row r="20" customFormat="false" ht="15" hidden="false" customHeight="false" outlineLevel="0" collapsed="false">
      <c r="A20" s="2" t="s">
        <v>52</v>
      </c>
      <c r="B20" s="3" t="s">
        <v>9</v>
      </c>
      <c r="C20" s="4" t="s">
        <v>53</v>
      </c>
      <c r="D20" s="5" t="n">
        <v>10</v>
      </c>
      <c r="E20" s="3" t="n">
        <v>29</v>
      </c>
      <c r="F20" s="6" t="s">
        <v>11</v>
      </c>
      <c r="G20" s="3" t="s">
        <v>12</v>
      </c>
      <c r="H20" s="2" t="s">
        <v>54</v>
      </c>
    </row>
    <row r="21" customFormat="false" ht="15" hidden="false" customHeight="false" outlineLevel="0" collapsed="false">
      <c r="A21" s="7" t="s">
        <v>52</v>
      </c>
      <c r="B21" s="8" t="s">
        <v>9</v>
      </c>
      <c r="C21" s="7" t="s">
        <v>55</v>
      </c>
      <c r="D21" s="9" t="n">
        <v>10</v>
      </c>
      <c r="E21" s="8" t="n">
        <v>13</v>
      </c>
      <c r="F21" s="6" t="s">
        <v>11</v>
      </c>
      <c r="G21" s="8" t="s">
        <v>15</v>
      </c>
      <c r="H21" s="7" t="s">
        <v>22</v>
      </c>
    </row>
    <row r="22" customFormat="false" ht="15" hidden="false" customHeight="false" outlineLevel="0" collapsed="false">
      <c r="A22" s="7" t="s">
        <v>52</v>
      </c>
      <c r="B22" s="8" t="s">
        <v>9</v>
      </c>
      <c r="C22" s="7" t="s">
        <v>56</v>
      </c>
      <c r="D22" s="9" t="n">
        <v>10</v>
      </c>
      <c r="E22" s="8" t="n">
        <v>20</v>
      </c>
      <c r="F22" s="6" t="s">
        <v>11</v>
      </c>
      <c r="G22" s="8" t="s">
        <v>15</v>
      </c>
      <c r="H22" s="7" t="s">
        <v>36</v>
      </c>
    </row>
    <row r="23" customFormat="false" ht="15" hidden="false" customHeight="false" outlineLevel="0" collapsed="false">
      <c r="A23" s="2" t="s">
        <v>52</v>
      </c>
      <c r="B23" s="3" t="s">
        <v>57</v>
      </c>
      <c r="C23" s="4" t="s">
        <v>58</v>
      </c>
      <c r="D23" s="5" t="n">
        <v>10</v>
      </c>
      <c r="E23" s="3" t="n">
        <v>27</v>
      </c>
      <c r="F23" s="6" t="s">
        <v>11</v>
      </c>
      <c r="G23" s="3" t="s">
        <v>12</v>
      </c>
      <c r="H23" s="2" t="s">
        <v>59</v>
      </c>
    </row>
    <row r="24" customFormat="false" ht="15" hidden="false" customHeight="false" outlineLevel="0" collapsed="false">
      <c r="A24" s="7" t="s">
        <v>52</v>
      </c>
      <c r="B24" s="8" t="s">
        <v>57</v>
      </c>
      <c r="C24" s="7" t="s">
        <v>60</v>
      </c>
      <c r="D24" s="9" t="n">
        <v>10</v>
      </c>
      <c r="E24" s="8" t="n">
        <v>13</v>
      </c>
      <c r="F24" s="6" t="s">
        <v>11</v>
      </c>
      <c r="G24" s="8" t="s">
        <v>15</v>
      </c>
      <c r="H24" s="7" t="s">
        <v>22</v>
      </c>
    </row>
    <row r="25" customFormat="false" ht="15" hidden="false" customHeight="false" outlineLevel="0" collapsed="false">
      <c r="A25" s="7" t="s">
        <v>52</v>
      </c>
      <c r="B25" s="8" t="s">
        <v>57</v>
      </c>
      <c r="C25" s="7" t="s">
        <v>61</v>
      </c>
      <c r="D25" s="9" t="n">
        <v>10</v>
      </c>
      <c r="E25" s="8" t="n">
        <v>13</v>
      </c>
      <c r="F25" s="6" t="s">
        <v>11</v>
      </c>
      <c r="G25" s="8" t="s">
        <v>15</v>
      </c>
      <c r="H25" s="7" t="s">
        <v>22</v>
      </c>
    </row>
    <row r="26" customFormat="false" ht="15" hidden="false" customHeight="false" outlineLevel="0" collapsed="false">
      <c r="A26" s="7" t="s">
        <v>52</v>
      </c>
      <c r="B26" s="8" t="s">
        <v>57</v>
      </c>
      <c r="C26" s="7" t="s">
        <v>62</v>
      </c>
      <c r="D26" s="9" t="n">
        <v>10</v>
      </c>
      <c r="E26" s="8" t="n">
        <v>18</v>
      </c>
      <c r="F26" s="6" t="s">
        <v>11</v>
      </c>
      <c r="G26" s="8" t="s">
        <v>15</v>
      </c>
      <c r="H26" s="7" t="s">
        <v>22</v>
      </c>
    </row>
    <row r="27" customFormat="false" ht="15" hidden="false" customHeight="false" outlineLevel="0" collapsed="false">
      <c r="A27" s="2" t="s">
        <v>52</v>
      </c>
      <c r="B27" s="3" t="s">
        <v>25</v>
      </c>
      <c r="C27" s="4" t="s">
        <v>63</v>
      </c>
      <c r="D27" s="5" t="n">
        <v>10</v>
      </c>
      <c r="E27" s="3" t="n">
        <v>27</v>
      </c>
      <c r="F27" s="6" t="s">
        <v>11</v>
      </c>
      <c r="G27" s="3" t="s">
        <v>12</v>
      </c>
      <c r="H27" s="2" t="s">
        <v>36</v>
      </c>
    </row>
    <row r="28" customFormat="false" ht="15" hidden="false" customHeight="false" outlineLevel="0" collapsed="false">
      <c r="A28" s="2" t="s">
        <v>64</v>
      </c>
      <c r="B28" s="3" t="s">
        <v>9</v>
      </c>
      <c r="C28" s="4" t="s">
        <v>65</v>
      </c>
      <c r="D28" s="5" t="n">
        <v>880</v>
      </c>
      <c r="E28" s="3" t="n">
        <v>30</v>
      </c>
      <c r="F28" s="6" t="s">
        <v>11</v>
      </c>
      <c r="G28" s="3" t="s">
        <v>12</v>
      </c>
      <c r="H28" s="2" t="s">
        <v>66</v>
      </c>
    </row>
    <row r="29" customFormat="false" ht="15" hidden="false" customHeight="false" outlineLevel="0" collapsed="false">
      <c r="A29" s="7" t="s">
        <v>64</v>
      </c>
      <c r="B29" s="8" t="s">
        <v>9</v>
      </c>
      <c r="C29" s="7" t="s">
        <v>67</v>
      </c>
      <c r="D29" s="9" t="n">
        <v>590</v>
      </c>
      <c r="E29" s="8" t="n">
        <v>19</v>
      </c>
      <c r="F29" s="6" t="s">
        <v>11</v>
      </c>
      <c r="G29" s="8" t="s">
        <v>15</v>
      </c>
      <c r="H29" s="7" t="s">
        <v>68</v>
      </c>
    </row>
    <row r="30" customFormat="false" ht="15" hidden="false" customHeight="false" outlineLevel="0" collapsed="false">
      <c r="A30" s="7" t="s">
        <v>64</v>
      </c>
      <c r="B30" s="8" t="s">
        <v>9</v>
      </c>
      <c r="C30" s="7" t="s">
        <v>69</v>
      </c>
      <c r="D30" s="9" t="n">
        <v>320</v>
      </c>
      <c r="E30" s="8" t="n">
        <v>27</v>
      </c>
      <c r="F30" s="6" t="s">
        <v>11</v>
      </c>
      <c r="G30" s="8" t="s">
        <v>15</v>
      </c>
      <c r="H30" s="7" t="s">
        <v>70</v>
      </c>
    </row>
    <row r="31" customFormat="false" ht="15" hidden="false" customHeight="false" outlineLevel="0" collapsed="false">
      <c r="A31" s="7" t="s">
        <v>64</v>
      </c>
      <c r="B31" s="8" t="s">
        <v>9</v>
      </c>
      <c r="C31" s="7" t="s">
        <v>71</v>
      </c>
      <c r="D31" s="9" t="n">
        <v>110</v>
      </c>
      <c r="E31" s="8" t="n">
        <v>37</v>
      </c>
      <c r="F31" s="10" t="s">
        <v>40</v>
      </c>
      <c r="G31" s="8" t="s">
        <v>15</v>
      </c>
      <c r="H31" s="7" t="s">
        <v>72</v>
      </c>
    </row>
    <row r="32" customFormat="false" ht="15" hidden="false" customHeight="false" outlineLevel="0" collapsed="false">
      <c r="A32" s="7" t="s">
        <v>64</v>
      </c>
      <c r="B32" s="8" t="s">
        <v>9</v>
      </c>
      <c r="C32" s="7" t="s">
        <v>73</v>
      </c>
      <c r="D32" s="9" t="n">
        <v>70</v>
      </c>
      <c r="E32" s="8" t="n">
        <v>13</v>
      </c>
      <c r="F32" s="6" t="s">
        <v>11</v>
      </c>
      <c r="G32" s="8" t="s">
        <v>15</v>
      </c>
      <c r="H32" s="7" t="s">
        <v>38</v>
      </c>
    </row>
    <row r="33" customFormat="false" ht="15" hidden="false" customHeight="false" outlineLevel="0" collapsed="false">
      <c r="A33" s="7" t="s">
        <v>64</v>
      </c>
      <c r="B33" s="8" t="s">
        <v>9</v>
      </c>
      <c r="C33" s="7" t="s">
        <v>74</v>
      </c>
      <c r="D33" s="9" t="n">
        <v>70</v>
      </c>
      <c r="E33" s="8" t="n">
        <v>22</v>
      </c>
      <c r="F33" s="6" t="s">
        <v>11</v>
      </c>
      <c r="G33" s="8" t="s">
        <v>15</v>
      </c>
      <c r="H33" s="7" t="s">
        <v>22</v>
      </c>
    </row>
    <row r="34" customFormat="false" ht="15" hidden="false" customHeight="false" outlineLevel="0" collapsed="false">
      <c r="A34" s="7" t="s">
        <v>64</v>
      </c>
      <c r="B34" s="8" t="s">
        <v>9</v>
      </c>
      <c r="C34" s="7" t="s">
        <v>75</v>
      </c>
      <c r="D34" s="9" t="n">
        <v>40</v>
      </c>
      <c r="E34" s="8" t="n">
        <v>28</v>
      </c>
      <c r="F34" s="6" t="s">
        <v>11</v>
      </c>
      <c r="G34" s="8" t="s">
        <v>15</v>
      </c>
      <c r="H34" s="7" t="s">
        <v>76</v>
      </c>
    </row>
    <row r="35" customFormat="false" ht="15" hidden="false" customHeight="false" outlineLevel="0" collapsed="false">
      <c r="A35" s="7" t="s">
        <v>64</v>
      </c>
      <c r="B35" s="8" t="s">
        <v>9</v>
      </c>
      <c r="C35" s="7" t="s">
        <v>77</v>
      </c>
      <c r="D35" s="9" t="n">
        <v>30</v>
      </c>
      <c r="E35" s="8" t="n">
        <v>21</v>
      </c>
      <c r="F35" s="6" t="s">
        <v>11</v>
      </c>
      <c r="G35" s="8" t="s">
        <v>15</v>
      </c>
      <c r="H35" s="7" t="s">
        <v>76</v>
      </c>
    </row>
    <row r="36" customFormat="false" ht="15" hidden="false" customHeight="false" outlineLevel="0" collapsed="false">
      <c r="A36" s="2" t="s">
        <v>64</v>
      </c>
      <c r="B36" s="3" t="s">
        <v>25</v>
      </c>
      <c r="C36" s="4" t="s">
        <v>74</v>
      </c>
      <c r="D36" s="5" t="n">
        <v>70</v>
      </c>
      <c r="E36" s="3" t="n">
        <v>15</v>
      </c>
      <c r="F36" s="6" t="s">
        <v>11</v>
      </c>
      <c r="G36" s="3" t="s">
        <v>12</v>
      </c>
      <c r="H36" s="2" t="s">
        <v>26</v>
      </c>
    </row>
    <row r="37" customFormat="false" ht="15" hidden="false" customHeight="false" outlineLevel="0" collapsed="false">
      <c r="A37" s="7" t="s">
        <v>64</v>
      </c>
      <c r="B37" s="8" t="s">
        <v>25</v>
      </c>
      <c r="C37" s="7" t="s">
        <v>78</v>
      </c>
      <c r="D37" s="9" t="n">
        <v>30</v>
      </c>
      <c r="E37" s="8" t="n">
        <v>26</v>
      </c>
      <c r="F37" s="6" t="s">
        <v>11</v>
      </c>
      <c r="G37" s="8" t="s">
        <v>15</v>
      </c>
      <c r="H37" s="7" t="s">
        <v>36</v>
      </c>
    </row>
    <row r="38" customFormat="false" ht="25.35" hidden="false" customHeight="false" outlineLevel="0" collapsed="false">
      <c r="A38" s="2" t="s">
        <v>79</v>
      </c>
      <c r="B38" s="3" t="s">
        <v>9</v>
      </c>
      <c r="C38" s="4" t="s">
        <v>80</v>
      </c>
      <c r="D38" s="5" t="n">
        <v>1000</v>
      </c>
      <c r="E38" s="3" t="n">
        <v>14</v>
      </c>
      <c r="F38" s="6" t="s">
        <v>11</v>
      </c>
      <c r="G38" s="3" t="s">
        <v>12</v>
      </c>
      <c r="H38" s="2" t="s">
        <v>81</v>
      </c>
    </row>
    <row r="39" customFormat="false" ht="15" hidden="false" customHeight="false" outlineLevel="0" collapsed="false">
      <c r="A39" s="7" t="s">
        <v>79</v>
      </c>
      <c r="B39" s="8" t="s">
        <v>9</v>
      </c>
      <c r="C39" s="7" t="s">
        <v>82</v>
      </c>
      <c r="D39" s="9" t="n">
        <v>880</v>
      </c>
      <c r="E39" s="8" t="n">
        <v>20</v>
      </c>
      <c r="F39" s="6" t="s">
        <v>11</v>
      </c>
      <c r="G39" s="8" t="s">
        <v>15</v>
      </c>
      <c r="H39" s="7" t="s">
        <v>83</v>
      </c>
    </row>
    <row r="40" customFormat="false" ht="15" hidden="false" customHeight="false" outlineLevel="0" collapsed="false">
      <c r="A40" s="7" t="s">
        <v>79</v>
      </c>
      <c r="B40" s="8" t="s">
        <v>9</v>
      </c>
      <c r="C40" s="7" t="s">
        <v>84</v>
      </c>
      <c r="D40" s="9" t="n">
        <v>720</v>
      </c>
      <c r="E40" s="8" t="n">
        <v>22</v>
      </c>
      <c r="F40" s="6" t="s">
        <v>11</v>
      </c>
      <c r="G40" s="8" t="s">
        <v>15</v>
      </c>
      <c r="H40" s="7" t="s">
        <v>70</v>
      </c>
    </row>
    <row r="41" customFormat="false" ht="15" hidden="false" customHeight="false" outlineLevel="0" collapsed="false">
      <c r="A41" s="7" t="s">
        <v>79</v>
      </c>
      <c r="B41" s="8" t="s">
        <v>9</v>
      </c>
      <c r="C41" s="7" t="s">
        <v>85</v>
      </c>
      <c r="D41" s="9" t="n">
        <v>170</v>
      </c>
      <c r="E41" s="8" t="n">
        <v>33</v>
      </c>
      <c r="F41" s="6" t="s">
        <v>11</v>
      </c>
      <c r="G41" s="8" t="s">
        <v>15</v>
      </c>
      <c r="H41" s="7" t="s">
        <v>59</v>
      </c>
    </row>
    <row r="42" customFormat="false" ht="15" hidden="false" customHeight="false" outlineLevel="0" collapsed="false">
      <c r="A42" s="7" t="s">
        <v>79</v>
      </c>
      <c r="B42" s="8" t="s">
        <v>9</v>
      </c>
      <c r="C42" s="7" t="s">
        <v>86</v>
      </c>
      <c r="D42" s="9" t="n">
        <v>50</v>
      </c>
      <c r="E42" s="8" t="n">
        <v>24</v>
      </c>
      <c r="F42" s="6" t="s">
        <v>11</v>
      </c>
      <c r="G42" s="8" t="s">
        <v>15</v>
      </c>
      <c r="H42" s="7" t="s">
        <v>22</v>
      </c>
    </row>
    <row r="43" customFormat="false" ht="15" hidden="false" customHeight="false" outlineLevel="0" collapsed="false">
      <c r="A43" s="7" t="s">
        <v>79</v>
      </c>
      <c r="B43" s="8" t="s">
        <v>9</v>
      </c>
      <c r="C43" s="7" t="s">
        <v>87</v>
      </c>
      <c r="D43" s="9" t="n">
        <v>30</v>
      </c>
      <c r="E43" s="8" t="n">
        <v>5</v>
      </c>
      <c r="F43" s="6" t="s">
        <v>11</v>
      </c>
      <c r="G43" s="8" t="s">
        <v>15</v>
      </c>
      <c r="H43" s="7" t="s">
        <v>88</v>
      </c>
    </row>
    <row r="44" customFormat="false" ht="15" hidden="false" customHeight="false" outlineLevel="0" collapsed="false">
      <c r="A44" s="7" t="s">
        <v>79</v>
      </c>
      <c r="B44" s="8" t="s">
        <v>9</v>
      </c>
      <c r="C44" s="7" t="s">
        <v>89</v>
      </c>
      <c r="D44" s="9" t="n">
        <v>20</v>
      </c>
      <c r="E44" s="8" t="n">
        <v>24</v>
      </c>
      <c r="F44" s="6" t="s">
        <v>11</v>
      </c>
      <c r="G44" s="8" t="s">
        <v>15</v>
      </c>
      <c r="H44" s="7" t="s">
        <v>76</v>
      </c>
    </row>
    <row r="45" customFormat="false" ht="15" hidden="false" customHeight="false" outlineLevel="0" collapsed="false">
      <c r="A45" s="2" t="s">
        <v>79</v>
      </c>
      <c r="B45" s="3" t="s">
        <v>25</v>
      </c>
      <c r="C45" s="4" t="s">
        <v>84</v>
      </c>
      <c r="D45" s="5" t="n">
        <v>210</v>
      </c>
      <c r="E45" s="3" t="n">
        <v>21</v>
      </c>
      <c r="F45" s="6" t="s">
        <v>11</v>
      </c>
      <c r="G45" s="3" t="s">
        <v>12</v>
      </c>
      <c r="H45" s="2" t="s">
        <v>90</v>
      </c>
    </row>
    <row r="46" customFormat="false" ht="15" hidden="false" customHeight="false" outlineLevel="0" collapsed="false">
      <c r="A46" s="7" t="s">
        <v>79</v>
      </c>
      <c r="B46" s="8" t="s">
        <v>25</v>
      </c>
      <c r="C46" s="7" t="s">
        <v>91</v>
      </c>
      <c r="D46" s="9" t="n">
        <v>140</v>
      </c>
      <c r="E46" s="8" t="n">
        <v>17</v>
      </c>
      <c r="F46" s="6" t="s">
        <v>11</v>
      </c>
      <c r="G46" s="8" t="s">
        <v>15</v>
      </c>
      <c r="H46" s="7" t="s">
        <v>92</v>
      </c>
    </row>
    <row r="47" customFormat="false" ht="15" hidden="false" customHeight="false" outlineLevel="0" collapsed="false">
      <c r="A47" s="7" t="s">
        <v>79</v>
      </c>
      <c r="B47" s="8" t="s">
        <v>25</v>
      </c>
      <c r="C47" s="7" t="s">
        <v>85</v>
      </c>
      <c r="D47" s="9" t="n">
        <v>20</v>
      </c>
      <c r="E47" s="8" t="n">
        <v>37</v>
      </c>
      <c r="F47" s="10" t="s">
        <v>40</v>
      </c>
      <c r="G47" s="8" t="s">
        <v>15</v>
      </c>
      <c r="H47" s="7" t="s">
        <v>93</v>
      </c>
    </row>
    <row r="48" customFormat="false" ht="15" hidden="false" customHeight="false" outlineLevel="0" collapsed="false">
      <c r="A48" s="2" t="s">
        <v>94</v>
      </c>
      <c r="B48" s="3" t="s">
        <v>9</v>
      </c>
      <c r="C48" s="4" t="s">
        <v>95</v>
      </c>
      <c r="D48" s="5" t="n">
        <v>1300</v>
      </c>
      <c r="E48" s="3" t="n">
        <v>55</v>
      </c>
      <c r="F48" s="10" t="s">
        <v>40</v>
      </c>
      <c r="G48" s="3" t="s">
        <v>12</v>
      </c>
      <c r="H48" s="2" t="s">
        <v>96</v>
      </c>
    </row>
    <row r="49" customFormat="false" ht="15" hidden="false" customHeight="false" outlineLevel="0" collapsed="false">
      <c r="A49" s="7" t="s">
        <v>94</v>
      </c>
      <c r="B49" s="8" t="s">
        <v>9</v>
      </c>
      <c r="C49" s="7" t="s">
        <v>97</v>
      </c>
      <c r="D49" s="9" t="n">
        <v>390</v>
      </c>
      <c r="E49" s="8" t="n">
        <v>40</v>
      </c>
      <c r="F49" s="10" t="s">
        <v>40</v>
      </c>
      <c r="G49" s="8" t="s">
        <v>15</v>
      </c>
      <c r="H49" s="7" t="s">
        <v>72</v>
      </c>
    </row>
    <row r="50" customFormat="false" ht="15" hidden="false" customHeight="false" outlineLevel="0" collapsed="false">
      <c r="A50" s="7" t="s">
        <v>94</v>
      </c>
      <c r="B50" s="8" t="s">
        <v>9</v>
      </c>
      <c r="C50" s="7" t="s">
        <v>98</v>
      </c>
      <c r="D50" s="9" t="n">
        <v>320</v>
      </c>
      <c r="E50" s="8" t="n">
        <v>14</v>
      </c>
      <c r="F50" s="6" t="s">
        <v>11</v>
      </c>
      <c r="G50" s="8" t="s">
        <v>15</v>
      </c>
      <c r="H50" s="7" t="s">
        <v>99</v>
      </c>
    </row>
    <row r="51" customFormat="false" ht="15" hidden="false" customHeight="false" outlineLevel="0" collapsed="false">
      <c r="A51" s="7" t="s">
        <v>94</v>
      </c>
      <c r="B51" s="8" t="s">
        <v>9</v>
      </c>
      <c r="C51" s="7" t="s">
        <v>100</v>
      </c>
      <c r="D51" s="9" t="n">
        <v>210</v>
      </c>
      <c r="E51" s="8" t="n">
        <v>22</v>
      </c>
      <c r="F51" s="6" t="s">
        <v>11</v>
      </c>
      <c r="G51" s="8" t="s">
        <v>15</v>
      </c>
      <c r="H51" s="7" t="s">
        <v>22</v>
      </c>
    </row>
    <row r="52" customFormat="false" ht="15" hidden="false" customHeight="false" outlineLevel="0" collapsed="false">
      <c r="A52" s="7" t="s">
        <v>94</v>
      </c>
      <c r="B52" s="8" t="s">
        <v>9</v>
      </c>
      <c r="C52" s="7" t="s">
        <v>101</v>
      </c>
      <c r="D52" s="9" t="n">
        <v>210</v>
      </c>
      <c r="E52" s="8" t="n">
        <v>23</v>
      </c>
      <c r="F52" s="6" t="s">
        <v>11</v>
      </c>
      <c r="G52" s="8" t="s">
        <v>15</v>
      </c>
      <c r="H52" s="7" t="s">
        <v>22</v>
      </c>
    </row>
    <row r="53" customFormat="false" ht="15" hidden="false" customHeight="false" outlineLevel="0" collapsed="false">
      <c r="A53" s="7" t="s">
        <v>94</v>
      </c>
      <c r="B53" s="8" t="s">
        <v>9</v>
      </c>
      <c r="C53" s="7" t="s">
        <v>102</v>
      </c>
      <c r="D53" s="9" t="n">
        <v>140</v>
      </c>
      <c r="E53" s="8" t="n">
        <v>22</v>
      </c>
      <c r="F53" s="6" t="s">
        <v>11</v>
      </c>
      <c r="G53" s="8" t="s">
        <v>15</v>
      </c>
      <c r="H53" s="7" t="s">
        <v>76</v>
      </c>
    </row>
    <row r="54" customFormat="false" ht="15" hidden="false" customHeight="false" outlineLevel="0" collapsed="false">
      <c r="A54" s="7" t="s">
        <v>94</v>
      </c>
      <c r="B54" s="8" t="s">
        <v>9</v>
      </c>
      <c r="C54" s="7" t="s">
        <v>103</v>
      </c>
      <c r="D54" s="9" t="n">
        <v>110</v>
      </c>
      <c r="E54" s="8" t="n">
        <v>16</v>
      </c>
      <c r="F54" s="6" t="s">
        <v>11</v>
      </c>
      <c r="G54" s="8" t="s">
        <v>15</v>
      </c>
      <c r="H54" s="7" t="s">
        <v>76</v>
      </c>
    </row>
    <row r="55" customFormat="false" ht="15" hidden="false" customHeight="false" outlineLevel="0" collapsed="false">
      <c r="A55" s="7" t="s">
        <v>94</v>
      </c>
      <c r="B55" s="8" t="s">
        <v>9</v>
      </c>
      <c r="C55" s="7" t="s">
        <v>104</v>
      </c>
      <c r="D55" s="9" t="n">
        <v>70</v>
      </c>
      <c r="E55" s="8" t="n">
        <v>17</v>
      </c>
      <c r="F55" s="6" t="s">
        <v>11</v>
      </c>
      <c r="G55" s="8" t="s">
        <v>15</v>
      </c>
      <c r="H55" s="7" t="s">
        <v>22</v>
      </c>
    </row>
    <row r="56" customFormat="false" ht="15" hidden="false" customHeight="false" outlineLevel="0" collapsed="false">
      <c r="A56" s="7" t="s">
        <v>94</v>
      </c>
      <c r="B56" s="8" t="s">
        <v>9</v>
      </c>
      <c r="C56" s="7" t="s">
        <v>105</v>
      </c>
      <c r="D56" s="9" t="n">
        <v>50</v>
      </c>
      <c r="E56" s="8" t="n">
        <v>25</v>
      </c>
      <c r="F56" s="6" t="s">
        <v>11</v>
      </c>
      <c r="G56" s="8" t="s">
        <v>15</v>
      </c>
      <c r="H56" s="7" t="s">
        <v>22</v>
      </c>
    </row>
    <row r="57" customFormat="false" ht="15" hidden="false" customHeight="false" outlineLevel="0" collapsed="false">
      <c r="A57" s="7" t="s">
        <v>94</v>
      </c>
      <c r="B57" s="8" t="s">
        <v>9</v>
      </c>
      <c r="C57" s="7" t="s">
        <v>106</v>
      </c>
      <c r="D57" s="9" t="n">
        <v>40</v>
      </c>
      <c r="E57" s="8" t="n">
        <v>9</v>
      </c>
      <c r="F57" s="6" t="s">
        <v>11</v>
      </c>
      <c r="G57" s="8" t="s">
        <v>15</v>
      </c>
      <c r="H57" s="7" t="s">
        <v>107</v>
      </c>
    </row>
    <row r="58" customFormat="false" ht="25.35" hidden="false" customHeight="false" outlineLevel="0" collapsed="false">
      <c r="A58" s="2" t="s">
        <v>94</v>
      </c>
      <c r="B58" s="3" t="s">
        <v>25</v>
      </c>
      <c r="C58" s="4" t="s">
        <v>108</v>
      </c>
      <c r="D58" s="5" t="n">
        <v>590</v>
      </c>
      <c r="E58" s="3" t="n">
        <v>33</v>
      </c>
      <c r="F58" s="6" t="s">
        <v>11</v>
      </c>
      <c r="G58" s="3" t="s">
        <v>12</v>
      </c>
      <c r="H58" s="2" t="s">
        <v>109</v>
      </c>
    </row>
    <row r="59" customFormat="false" ht="15" hidden="false" customHeight="false" outlineLevel="0" collapsed="false">
      <c r="A59" s="7" t="s">
        <v>94</v>
      </c>
      <c r="B59" s="8" t="s">
        <v>25</v>
      </c>
      <c r="C59" s="7" t="s">
        <v>95</v>
      </c>
      <c r="D59" s="9" t="n">
        <v>70</v>
      </c>
      <c r="E59" s="8" t="n">
        <v>23</v>
      </c>
      <c r="F59" s="6" t="s">
        <v>11</v>
      </c>
      <c r="G59" s="8" t="s">
        <v>15</v>
      </c>
      <c r="H59" s="7" t="s">
        <v>110</v>
      </c>
    </row>
    <row r="60" customFormat="false" ht="15" hidden="false" customHeight="false" outlineLevel="0" collapsed="false">
      <c r="A60" s="7" t="s">
        <v>94</v>
      </c>
      <c r="B60" s="8" t="s">
        <v>25</v>
      </c>
      <c r="C60" s="7" t="s">
        <v>100</v>
      </c>
      <c r="D60" s="9" t="n">
        <v>20</v>
      </c>
      <c r="E60" s="8" t="n">
        <v>20</v>
      </c>
      <c r="F60" s="6" t="s">
        <v>11</v>
      </c>
      <c r="G60" s="8" t="s">
        <v>15</v>
      </c>
      <c r="H60" s="7" t="s">
        <v>22</v>
      </c>
    </row>
    <row r="61" customFormat="false" ht="15" hidden="false" customHeight="false" outlineLevel="0" collapsed="false">
      <c r="A61" s="7" t="s">
        <v>94</v>
      </c>
      <c r="B61" s="8" t="s">
        <v>25</v>
      </c>
      <c r="C61" s="7" t="s">
        <v>98</v>
      </c>
      <c r="D61" s="9" t="n">
        <v>20</v>
      </c>
      <c r="E61" s="8" t="n">
        <v>24</v>
      </c>
      <c r="F61" s="6" t="s">
        <v>11</v>
      </c>
      <c r="G61" s="8" t="s">
        <v>15</v>
      </c>
      <c r="H61" s="7" t="s">
        <v>76</v>
      </c>
    </row>
    <row r="62" customFormat="false" ht="15" hidden="false" customHeight="false" outlineLevel="0" collapsed="false">
      <c r="A62" s="7" t="s">
        <v>94</v>
      </c>
      <c r="B62" s="8" t="s">
        <v>25</v>
      </c>
      <c r="C62" s="7" t="s">
        <v>103</v>
      </c>
      <c r="D62" s="9" t="n">
        <v>20</v>
      </c>
      <c r="E62" s="8" t="n">
        <v>16</v>
      </c>
      <c r="F62" s="6" t="s">
        <v>11</v>
      </c>
      <c r="G62" s="8" t="s">
        <v>15</v>
      </c>
      <c r="H62" s="7" t="s">
        <v>76</v>
      </c>
    </row>
    <row r="63" customFormat="false" ht="15" hidden="false" customHeight="false" outlineLevel="0" collapsed="false">
      <c r="A63" s="7" t="s">
        <v>94</v>
      </c>
      <c r="B63" s="8" t="s">
        <v>25</v>
      </c>
      <c r="C63" s="7" t="s">
        <v>111</v>
      </c>
      <c r="D63" s="9" t="n">
        <v>20</v>
      </c>
      <c r="E63" s="8" t="n">
        <v>16</v>
      </c>
      <c r="F63" s="6" t="s">
        <v>11</v>
      </c>
      <c r="G63" s="8" t="s">
        <v>15</v>
      </c>
      <c r="H63" s="7" t="s">
        <v>22</v>
      </c>
    </row>
    <row r="64" customFormat="false" ht="15" hidden="false" customHeight="false" outlineLevel="0" collapsed="false">
      <c r="A64" s="2" t="s">
        <v>112</v>
      </c>
      <c r="B64" s="3" t="s">
        <v>9</v>
      </c>
      <c r="C64" s="4" t="s">
        <v>113</v>
      </c>
      <c r="D64" s="5" t="n">
        <v>110</v>
      </c>
      <c r="E64" s="3" t="n">
        <v>18</v>
      </c>
      <c r="F64" s="6" t="s">
        <v>11</v>
      </c>
      <c r="G64" s="3" t="s">
        <v>12</v>
      </c>
      <c r="H64" s="2" t="s">
        <v>114</v>
      </c>
    </row>
    <row r="65" customFormat="false" ht="15" hidden="false" customHeight="false" outlineLevel="0" collapsed="false">
      <c r="A65" s="7" t="s">
        <v>112</v>
      </c>
      <c r="B65" s="8" t="s">
        <v>9</v>
      </c>
      <c r="C65" s="7" t="s">
        <v>115</v>
      </c>
      <c r="D65" s="9" t="n">
        <v>30</v>
      </c>
      <c r="E65" s="8" t="n">
        <v>23</v>
      </c>
      <c r="F65" s="6" t="s">
        <v>11</v>
      </c>
      <c r="G65" s="8" t="s">
        <v>15</v>
      </c>
      <c r="H65" s="7" t="s">
        <v>59</v>
      </c>
    </row>
    <row r="66" customFormat="false" ht="15" hidden="false" customHeight="false" outlineLevel="0" collapsed="false">
      <c r="A66" s="7" t="s">
        <v>112</v>
      </c>
      <c r="B66" s="8" t="s">
        <v>9</v>
      </c>
      <c r="C66" s="7" t="s">
        <v>116</v>
      </c>
      <c r="D66" s="9" t="n">
        <v>10</v>
      </c>
      <c r="E66" s="8" t="n">
        <v>18</v>
      </c>
      <c r="F66" s="6" t="s">
        <v>11</v>
      </c>
      <c r="G66" s="8" t="s">
        <v>15</v>
      </c>
      <c r="H66" s="7" t="s">
        <v>117</v>
      </c>
    </row>
    <row r="67" customFormat="false" ht="15" hidden="false" customHeight="false" outlineLevel="0" collapsed="false">
      <c r="A67" s="7" t="s">
        <v>112</v>
      </c>
      <c r="B67" s="8" t="s">
        <v>9</v>
      </c>
      <c r="C67" s="7" t="s">
        <v>118</v>
      </c>
      <c r="D67" s="9" t="n">
        <v>10</v>
      </c>
      <c r="E67" s="8" t="n">
        <v>13</v>
      </c>
      <c r="F67" s="6" t="s">
        <v>11</v>
      </c>
      <c r="G67" s="8" t="s">
        <v>15</v>
      </c>
      <c r="H67" s="7" t="s">
        <v>22</v>
      </c>
    </row>
    <row r="68" customFormat="false" ht="15" hidden="false" customHeight="false" outlineLevel="0" collapsed="false">
      <c r="A68" s="7" t="s">
        <v>112</v>
      </c>
      <c r="B68" s="8" t="s">
        <v>9</v>
      </c>
      <c r="C68" s="7" t="s">
        <v>119</v>
      </c>
      <c r="D68" s="9" t="n">
        <v>10</v>
      </c>
      <c r="E68" s="8" t="n">
        <v>13</v>
      </c>
      <c r="F68" s="6" t="s">
        <v>11</v>
      </c>
      <c r="G68" s="8" t="s">
        <v>15</v>
      </c>
      <c r="H68" s="7" t="s">
        <v>22</v>
      </c>
    </row>
    <row r="69" customFormat="false" ht="15" hidden="false" customHeight="false" outlineLevel="0" collapsed="false">
      <c r="A69" s="7" t="s">
        <v>112</v>
      </c>
      <c r="B69" s="8" t="s">
        <v>9</v>
      </c>
      <c r="C69" s="7" t="s">
        <v>120</v>
      </c>
      <c r="D69" s="9" t="n">
        <v>10</v>
      </c>
      <c r="E69" s="8" t="n">
        <v>13</v>
      </c>
      <c r="F69" s="6" t="s">
        <v>11</v>
      </c>
      <c r="G69" s="8" t="s">
        <v>15</v>
      </c>
      <c r="H69" s="7" t="s">
        <v>22</v>
      </c>
    </row>
    <row r="70" customFormat="false" ht="15" hidden="false" customHeight="false" outlineLevel="0" collapsed="false">
      <c r="A70" s="7" t="s">
        <v>112</v>
      </c>
      <c r="B70" s="8" t="s">
        <v>9</v>
      </c>
      <c r="C70" s="7" t="s">
        <v>121</v>
      </c>
      <c r="D70" s="9" t="n">
        <v>10</v>
      </c>
      <c r="E70" s="8" t="n">
        <v>18</v>
      </c>
      <c r="F70" s="6" t="s">
        <v>11</v>
      </c>
      <c r="G70" s="8" t="s">
        <v>15</v>
      </c>
      <c r="H70" s="7" t="s">
        <v>22</v>
      </c>
    </row>
    <row r="71" customFormat="false" ht="15" hidden="false" customHeight="false" outlineLevel="0" collapsed="false">
      <c r="A71" s="7" t="s">
        <v>112</v>
      </c>
      <c r="B71" s="8" t="s">
        <v>9</v>
      </c>
      <c r="C71" s="7" t="s">
        <v>122</v>
      </c>
      <c r="D71" s="9" t="n">
        <v>10</v>
      </c>
      <c r="E71" s="8" t="n">
        <v>13</v>
      </c>
      <c r="F71" s="6" t="s">
        <v>11</v>
      </c>
      <c r="G71" s="8" t="s">
        <v>15</v>
      </c>
      <c r="H71" s="7" t="s">
        <v>22</v>
      </c>
    </row>
    <row r="72" customFormat="false" ht="15" hidden="false" customHeight="false" outlineLevel="0" collapsed="false">
      <c r="A72" s="2" t="s">
        <v>112</v>
      </c>
      <c r="B72" s="3" t="s">
        <v>25</v>
      </c>
      <c r="C72" s="4" t="s">
        <v>113</v>
      </c>
      <c r="D72" s="5" t="n">
        <v>20</v>
      </c>
      <c r="E72" s="3" t="n">
        <v>13</v>
      </c>
      <c r="F72" s="6" t="s">
        <v>11</v>
      </c>
      <c r="G72" s="3" t="s">
        <v>12</v>
      </c>
      <c r="H72" s="2" t="s">
        <v>26</v>
      </c>
    </row>
    <row r="73" customFormat="false" ht="15" hidden="false" customHeight="false" outlineLevel="0" collapsed="false">
      <c r="A73" s="7" t="s">
        <v>112</v>
      </c>
      <c r="B73" s="8" t="s">
        <v>25</v>
      </c>
      <c r="C73" s="7" t="s">
        <v>115</v>
      </c>
      <c r="D73" s="9" t="n">
        <v>10</v>
      </c>
      <c r="E73" s="8" t="n">
        <v>18</v>
      </c>
      <c r="F73" s="6" t="s">
        <v>11</v>
      </c>
      <c r="G73" s="8" t="s">
        <v>15</v>
      </c>
      <c r="H73" s="7" t="s">
        <v>26</v>
      </c>
    </row>
    <row r="74" customFormat="false" ht="25.35" hidden="false" customHeight="false" outlineLevel="0" collapsed="false">
      <c r="A74" s="2" t="s">
        <v>123</v>
      </c>
      <c r="B74" s="3" t="s">
        <v>9</v>
      </c>
      <c r="C74" s="4" t="s">
        <v>124</v>
      </c>
      <c r="D74" s="5" t="n">
        <v>10</v>
      </c>
      <c r="E74" s="3" t="n">
        <v>13</v>
      </c>
      <c r="F74" s="6" t="s">
        <v>11</v>
      </c>
      <c r="G74" s="3" t="s">
        <v>12</v>
      </c>
      <c r="H74" s="2" t="s">
        <v>125</v>
      </c>
    </row>
  </sheetData>
  <autoFilter ref="A1:H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42"/>
  </cols>
  <sheetData>
    <row r="1" customFormat="false" ht="24" hidden="false" customHeight="true" outlineLevel="0" collapsed="false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 customFormat="false" ht="15" hidden="false" customHeight="false" outlineLevel="0" collapsed="false">
      <c r="A2" s="7" t="s">
        <v>8</v>
      </c>
      <c r="B2" s="8" t="n">
        <f aca="false">COUNTIF('Keyword Master List'!A:A,A2)</f>
        <v>8</v>
      </c>
      <c r="C2" s="8" t="n">
        <f aca="false">SUMIF('Keyword Master List'!A:A,A2,'Keyword Master List'!D:D)</f>
        <v>230</v>
      </c>
      <c r="D2" s="8" t="n">
        <f aca="false">ROUND(AVERAGEIF('Keyword Master List'!A:A,A2,'Keyword Master List'!E:E),1)</f>
        <v>17</v>
      </c>
      <c r="E2" s="7" t="s">
        <v>130</v>
      </c>
    </row>
    <row r="3" customFormat="false" ht="15" hidden="false" customHeight="false" outlineLevel="0" collapsed="false">
      <c r="A3" s="7" t="s">
        <v>30</v>
      </c>
      <c r="B3" s="8" t="n">
        <f aca="false">COUNTIF('Keyword Master List'!A:A,A3)</f>
        <v>10</v>
      </c>
      <c r="C3" s="8" t="n">
        <f aca="false">SUMIF('Keyword Master List'!A:A,A3,'Keyword Master List'!D:D)</f>
        <v>760</v>
      </c>
      <c r="D3" s="8" t="n">
        <f aca="false">ROUND(AVERAGEIF('Keyword Master List'!A:A,A3,'Keyword Master List'!E:E),1)</f>
        <v>25.9</v>
      </c>
      <c r="E3" s="7" t="s">
        <v>131</v>
      </c>
    </row>
    <row r="4" customFormat="false" ht="15" hidden="false" customHeight="false" outlineLevel="0" collapsed="false">
      <c r="A4" s="7" t="s">
        <v>52</v>
      </c>
      <c r="B4" s="8" t="n">
        <f aca="false">COUNTIF('Keyword Master List'!A:A,A4)</f>
        <v>8</v>
      </c>
      <c r="C4" s="8" t="n">
        <f aca="false">SUMIF('Keyword Master List'!A:A,A4,'Keyword Master List'!D:D)</f>
        <v>80</v>
      </c>
      <c r="D4" s="8" t="n">
        <f aca="false">ROUND(AVERAGEIF('Keyword Master List'!A:A,A4,'Keyword Master List'!E:E),1)</f>
        <v>20</v>
      </c>
      <c r="E4" s="7" t="s">
        <v>132</v>
      </c>
    </row>
    <row r="5" customFormat="false" ht="15" hidden="false" customHeight="false" outlineLevel="0" collapsed="false">
      <c r="A5" s="7" t="s">
        <v>64</v>
      </c>
      <c r="B5" s="8" t="n">
        <f aca="false">COUNTIF('Keyword Master List'!A:A,A5)</f>
        <v>10</v>
      </c>
      <c r="C5" s="8" t="n">
        <f aca="false">SUMIF('Keyword Master List'!A:A,A5,'Keyword Master List'!D:D)</f>
        <v>2210</v>
      </c>
      <c r="D5" s="8" t="n">
        <f aca="false">ROUND(AVERAGEIF('Keyword Master List'!A:A,A5,'Keyword Master List'!E:E),1)</f>
        <v>23.8</v>
      </c>
      <c r="E5" s="7" t="s">
        <v>133</v>
      </c>
    </row>
    <row r="6" customFormat="false" ht="15" hidden="false" customHeight="false" outlineLevel="0" collapsed="false">
      <c r="A6" s="7" t="s">
        <v>79</v>
      </c>
      <c r="B6" s="8" t="n">
        <f aca="false">COUNTIF('Keyword Master List'!A:A,A6)</f>
        <v>10</v>
      </c>
      <c r="C6" s="8" t="n">
        <f aca="false">SUMIF('Keyword Master List'!A:A,A6,'Keyword Master List'!D:D)</f>
        <v>3240</v>
      </c>
      <c r="D6" s="8" t="n">
        <f aca="false">ROUND(AVERAGEIF('Keyword Master List'!A:A,A6,'Keyword Master List'!E:E),1)</f>
        <v>21.7</v>
      </c>
      <c r="E6" s="7" t="s">
        <v>134</v>
      </c>
    </row>
    <row r="7" customFormat="false" ht="15" hidden="false" customHeight="false" outlineLevel="0" collapsed="false">
      <c r="A7" s="7" t="s">
        <v>94</v>
      </c>
      <c r="B7" s="8" t="n">
        <f aca="false">COUNTIF('Keyword Master List'!A:A,A7)</f>
        <v>16</v>
      </c>
      <c r="C7" s="8" t="n">
        <f aca="false">SUMIF('Keyword Master List'!A:A,A7,'Keyword Master List'!D:D)</f>
        <v>3580</v>
      </c>
      <c r="D7" s="8" t="n">
        <f aca="false">ROUND(AVERAGEIF('Keyword Master List'!A:A,A7,'Keyword Master List'!E:E),1)</f>
        <v>23.4</v>
      </c>
      <c r="E7" s="7" t="s">
        <v>135</v>
      </c>
    </row>
    <row r="8" customFormat="false" ht="15" hidden="false" customHeight="false" outlineLevel="0" collapsed="false">
      <c r="A8" s="7" t="s">
        <v>112</v>
      </c>
      <c r="B8" s="8" t="n">
        <f aca="false">COUNTIF('Keyword Master List'!A:A,A8)</f>
        <v>10</v>
      </c>
      <c r="C8" s="8" t="n">
        <f aca="false">SUMIF('Keyword Master List'!A:A,A8,'Keyword Master List'!D:D)</f>
        <v>230</v>
      </c>
      <c r="D8" s="8" t="n">
        <f aca="false">ROUND(AVERAGEIF('Keyword Master List'!A:A,A8,'Keyword Master List'!E:E),1)</f>
        <v>16</v>
      </c>
      <c r="E8" s="7" t="s">
        <v>136</v>
      </c>
    </row>
    <row r="9" customFormat="false" ht="15" hidden="false" customHeight="false" outlineLevel="0" collapsed="false">
      <c r="A9" s="7" t="s">
        <v>123</v>
      </c>
      <c r="B9" s="8" t="n">
        <f aca="false">COUNTIF('Keyword Master List'!A:A,A9)</f>
        <v>1</v>
      </c>
      <c r="C9" s="8" t="n">
        <f aca="false">SUMIF('Keyword Master List'!A:A,A9,'Keyword Master List'!D:D)</f>
        <v>10</v>
      </c>
      <c r="D9" s="8" t="n">
        <f aca="false">ROUND(AVERAGEIF('Keyword Master List'!A:A,A9,'Keyword Master List'!E:E),1)</f>
        <v>13</v>
      </c>
      <c r="E9" s="7" t="s">
        <v>137</v>
      </c>
    </row>
    <row r="11" customFormat="false" ht="15" hidden="false" customHeight="false" outlineLevel="0" collapsed="false">
      <c r="A11" s="11" t="s">
        <v>138</v>
      </c>
    </row>
    <row r="12" customFormat="false" ht="15" hidden="false" customHeight="false" outlineLevel="0" collapsed="false">
      <c r="A12" s="12" t="s">
        <v>139</v>
      </c>
    </row>
    <row r="13" customFormat="false" ht="15" hidden="false" customHeight="false" outlineLevel="0" collapsed="false">
      <c r="A13" s="12" t="s">
        <v>140</v>
      </c>
    </row>
    <row r="14" customFormat="false" ht="15" hidden="false" customHeight="false" outlineLevel="0" collapsed="false">
      <c r="A14" s="12" t="s">
        <v>141</v>
      </c>
    </row>
  </sheetData>
  <autoFilter ref="A1:E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2026-08-31T07:57:14Z</dcterms:created>
  <dc:creator>openpyxl</dc:creator>
  <dc:description/>
  <dc:language>en-US</dc:language>
  <cp:lastModifiedBy/>
  <dcterms:modified xsi:type="dcterms:W3CDTF">2026-08-31T07:57:14Z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